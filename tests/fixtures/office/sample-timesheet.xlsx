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sheet" sheetId="1" r:id="rId1"/>
    <sheet name="Summary" sheetId="2" r:id="rId2"/>
  </sheets>
</workbook>
</file>

<file path=xl/sharedStrings.xml><?xml version="1.0" encoding="utf-8"?>
<sst xmlns="http://schemas.openxmlformats.org/spreadsheetml/2006/main" count="33" uniqueCount="33">
  <si>
    <t>Date</t>
  </si>
  <si>
    <t>Task</t>
  </si>
  <si>
    <t>Hours</t>
  </si>
  <si>
    <t>Billable</t>
  </si>
  <si>
    <t>Notes</t>
  </si>
  <si>
    <t>2026-09-01</t>
  </si>
  <si>
    <t>init wording pass</t>
  </si>
  <si>
    <t>no</t>
  </si>
  <si>
    <t>paired with laptop</t>
  </si>
  <si>
    <t>2026-09-02</t>
  </si>
  <si>
    <t>9p file share</t>
  </si>
  <si>
    <t>yes</t>
  </si>
  <si>
    <t/>
  </si>
  <si>
    <t>2026-09-03</t>
  </si>
  <si>
    <t>cache fingerprinting</t>
  </si>
  <si>
    <t>2026-09-04</t>
  </si>
  <si>
    <t>dogfood Llama-3.1-8B</t>
  </si>
  <si>
    <t>2026-09-05</t>
  </si>
  <si>
    <t>README rewrite</t>
  </si>
  <si>
    <t>2026-09-06</t>
  </si>
  <si>
    <t>relay descriptor audit</t>
  </si>
  <si>
    <t>2026-09-07</t>
  </si>
  <si>
    <t>eval matrix run</t>
  </si>
  <si>
    <t>2026-09-08</t>
  </si>
  <si>
    <t>office formats spike</t>
  </si>
  <si>
    <t>Total</t>
  </si>
  <si>
    <t>Billable hours</t>
  </si>
  <si>
    <t>Week</t>
  </si>
  <si>
    <t>Rate</t>
  </si>
  <si>
    <t>Amount</t>
  </si>
  <si>
    <t>2026-W36</t>
  </si>
  <si>
    <t>Currency</t>
  </si>
  <si>
    <t>USD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</si>
</sst>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3.5</v>
      </c>
      <c r="D2" t="s">
        <v>7</v>
      </c>
      <c r="E2" t="s">
        <v>8</v>
      </c>
    </row>
    <row r="3">
      <c r="A3" t="s">
        <v>9</v>
      </c>
      <c r="B3" t="s">
        <v>10</v>
      </c>
      <c r="C3">
        <v>6</v>
      </c>
      <c r="D3" t="s">
        <v>11</v>
      </c>
      <c r="E3" t="s">
        <v>12</v>
      </c>
    </row>
    <row r="4">
      <c r="A4" t="s">
        <v>13</v>
      </c>
      <c r="B4" t="s">
        <v>14</v>
      </c>
      <c r="C4">
        <v>2.25</v>
      </c>
      <c r="D4" t="s">
        <v>11</v>
      </c>
      <c r="E4" t="s">
        <v>8</v>
      </c>
    </row>
    <row r="5">
      <c r="A5" t="s">
        <v>15</v>
      </c>
      <c r="B5" t="s">
        <v>16</v>
      </c>
      <c r="C5">
        <v>4</v>
      </c>
      <c r="D5" t="s">
        <v>7</v>
      </c>
      <c r="E5" t="s">
        <v>12</v>
      </c>
    </row>
    <row r="6">
      <c r="A6" t="s">
        <v>17</v>
      </c>
      <c r="B6" t="s">
        <v>18</v>
      </c>
      <c r="C6">
        <v>5.5</v>
      </c>
      <c r="D6" t="s">
        <v>11</v>
      </c>
      <c r="E6" t="s">
        <v>8</v>
      </c>
    </row>
    <row r="7">
      <c r="A7" t="s">
        <v>19</v>
      </c>
      <c r="B7" t="s">
        <v>20</v>
      </c>
      <c r="C7">
        <v>1.75</v>
      </c>
      <c r="D7" t="s">
        <v>11</v>
      </c>
      <c r="E7" t="s">
        <v>12</v>
      </c>
    </row>
    <row r="8">
      <c r="A8" t="s">
        <v>21</v>
      </c>
      <c r="B8" t="s">
        <v>22</v>
      </c>
      <c r="C8">
        <v>7</v>
      </c>
      <c r="D8" t="s">
        <v>7</v>
      </c>
      <c r="E8" t="s">
        <v>8</v>
      </c>
    </row>
    <row r="9">
      <c r="A9" t="s">
        <v>23</v>
      </c>
      <c r="B9" t="s">
        <v>24</v>
      </c>
      <c r="C9">
        <v>4.5</v>
      </c>
      <c r="D9" t="s">
        <v>11</v>
      </c>
      <c r="E9" t="s">
        <v>12</v>
      </c>
    </row>
    <row r="10">
      <c r="A10" t="s">
        <v>12</v>
      </c>
      <c r="B10" t="s">
        <v>25</v>
      </c>
      <c r="C10">
        <f>SUM(C2:C9)</f>
        <v>34.5</v>
      </c>
      <c r="D10" t="s">
        <v>12</v>
      </c>
      <c r="E10" t="s">
        <v>12</v>
      </c>
    </row>
    <row r="11">
      <c r="A11" t="s">
        <v>12</v>
      </c>
      <c r="B11" t="s">
        <v>26</v>
      </c>
      <c r="C11">
        <f>SUMIF(D2:D9,"yes",C2:C9)</f>
        <v>20.0</v>
      </c>
      <c r="D11" t="s">
        <v>12</v>
      </c>
      <c r="E11" t="s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27</v>
      </c>
      <c r="B1" t="s">
        <v>2</v>
      </c>
      <c r="C1" t="s">
        <v>28</v>
      </c>
      <c r="D1" t="s">
        <v>29</v>
      </c>
    </row>
    <row r="2">
      <c r="A2" t="s">
        <v>30</v>
      </c>
      <c r="B2">
        <f>SUM(Timesheet!C2:C9)</f>
        <v>34.5</v>
      </c>
      <c r="C2">
        <v>85</v>
      </c>
      <c r="D2">
        <f>B2*C2</f>
        <v>2932.5</v>
      </c>
    </row>
    <row r="3">
      <c r="A3" t="s">
        <v>31</v>
      </c>
      <c r="B3" t="s">
        <v>32</v>
      </c>
      <c r="C3" t="s">
        <v>12</v>
      </c>
      <c r="D3" t="s">
        <v>12</v>
      </c>
    </row>
  </sheetData>
</worksheet>
</file>